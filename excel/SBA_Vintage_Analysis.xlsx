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uaddala/Downloads/"/>
    </mc:Choice>
  </mc:AlternateContent>
  <xr:revisionPtr revIDLastSave="0" documentId="13_ncr:1_{DB30D284-E5C5-C24E-85BB-63ED0B16DD6B}" xr6:coauthVersionLast="47" xr6:coauthVersionMax="47" xr10:uidLastSave="{00000000-0000-0000-0000-000000000000}"/>
  <bookViews>
    <workbookView xWindow="380" yWindow="600" windowWidth="28040" windowHeight="15980" activeTab="1" xr2:uid="{4452C9FD-27EA-1246-8D6C-901676093378}"/>
  </bookViews>
  <sheets>
    <sheet name="Vintage Data" sheetId="1" r:id="rId1"/>
    <sheet name="Vintage Char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B12" i="1"/>
  <c r="C12" i="1"/>
  <c r="D12" i="1" s="1"/>
</calcChain>
</file>

<file path=xl/sharedStrings.xml><?xml version="1.0" encoding="utf-8"?>
<sst xmlns="http://schemas.openxmlformats.org/spreadsheetml/2006/main" count="5" uniqueCount="5">
  <si>
    <t>Approval FY</t>
  </si>
  <si>
    <t>Total Loans</t>
  </si>
  <si>
    <t>Five-Year Charge-offs</t>
  </si>
  <si>
    <t>Charge-off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</si>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</sst>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 Light"/>
      <family val="2"/>
    </font>
    <font>
      <sz val="16"/>
      <color theme="1"/>
      <name val="Calibri Light"/>
      <family val="2"/>
    </font>
    <font>
      <sz val="16"/>
      <color theme="1"/>
      <name val="Aptos Narrow"/>
      <scheme val="minor"/>
    </font>
    <font>
      <b/>
      <sz val="16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10" fontId="3" fillId="0" borderId="0" xfId="0" applyNumberFormat="1" applyFont="1"/>
    <xf numFmtId="3" fontId="4" fillId="0" borderId="0" xfId="0" applyNumberFormat="1" applyFont="1"/>
    <xf numFmtId="10" fontId="4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Five-Year</a:t>
            </a:r>
            <a:r>
              <a:rPr lang="en-US" sz="1600" b="1" baseline="0"/>
              <a:t> Charge-off Rate by Approval VIntage</a:t>
            </a:r>
          </a:p>
          <a:p>
            <a:pPr>
              <a:defRPr/>
            </a:pP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'Vintage Data'!$D$1</c:f>
              <c:strCache>
                <c:ptCount val="1"/>
                <c:pt idx="0">
                  <c:v>Charge-off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BA-0844-8EE7-CEC75CAB4D4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BA-0844-8EE7-CEC75CAB4D45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'Vintage Data'!$A$2:$A$11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'Vintage Data'!$D$2:$D$11</c:f>
              <c:numCache>
                <c:formatCode>0.00%</c:formatCode>
                <c:ptCount val="10"/>
                <c:pt idx="0">
                  <c:v>4.8982762076568452E-2</c:v>
                </c:pt>
                <c:pt idx="1">
                  <c:v>3.6534584027351623E-2</c:v>
                </c:pt>
                <c:pt idx="2">
                  <c:v>3.2811334824757642E-2</c:v>
                </c:pt>
                <c:pt idx="3">
                  <c:v>3.0730403800475058E-2</c:v>
                </c:pt>
                <c:pt idx="4">
                  <c:v>3.5182002132242554E-2</c:v>
                </c:pt>
                <c:pt idx="5">
                  <c:v>3.8560086611331652E-2</c:v>
                </c:pt>
                <c:pt idx="6">
                  <c:v>3.870740512459276E-2</c:v>
                </c:pt>
                <c:pt idx="7">
                  <c:v>4.3136345804058632E-2</c:v>
                </c:pt>
                <c:pt idx="8">
                  <c:v>4.666568254788353E-2</c:v>
                </c:pt>
                <c:pt idx="9">
                  <c:v>3.9106634552222463E-2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A-0844-8EE7-CEC75CAB4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3468544"/>
        <c:axId val="1683894976"/>
      </c:barChart>
      <c:catAx>
        <c:axId val="168346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94976"/>
        <c:crosses val="autoZero"/>
        <c:auto val="1"/>
        <c:lblAlgn val="ctr"/>
        <c:lblOffset val="100"/>
        <c:noMultiLvlLbl val="0"/>
      </c:catAx>
      <c:valAx>
        <c:axId val="1683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46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0</xdr:row>
      <xdr:rowOff>152400</xdr:rowOff>
    </xdr:from>
    <xdr:to>
      <xdr:col>14</xdr:col>
      <xdr:colOff>685800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C23F0-EA92-FAA0-BC27-15E707DDA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393700</xdr:colOff>
      <xdr:row>31</xdr:row>
      <xdr:rowOff>63500</xdr:rowOff>
    </xdr:from>
    <xdr:ext cx="6553200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D99095-8E62-EFC3-667B-48F16A447D50}"/>
            </a:ext>
          </a:extLst>
        </xdr:cNvPr>
        <xdr:cNvSpPr txBox="1"/>
      </xdr:nvSpPr>
      <xdr:spPr>
        <a:xfrm>
          <a:off x="2870200" y="6362700"/>
          <a:ext cx="65532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600" b="1" i="0">
            <a:noFill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736600</xdr:colOff>
      <xdr:row>30</xdr:row>
      <xdr:rowOff>76200</xdr:rowOff>
    </xdr:from>
    <xdr:ext cx="6832600" cy="11440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8C0C878-ED4D-E8DC-917F-B11AA08847AB}"/>
            </a:ext>
          </a:extLst>
        </xdr:cNvPr>
        <xdr:cNvSpPr txBox="1"/>
      </xdr:nvSpPr>
      <xdr:spPr>
        <a:xfrm>
          <a:off x="3213100" y="6172200"/>
          <a:ext cx="6832600" cy="11440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0" i="0">
              <a:latin typeface="Arial" panose="020B0604020202020204" pitchFamily="34" charset="0"/>
              <a:cs typeface="Arial" panose="020B0604020202020204" pitchFamily="34" charset="0"/>
            </a:rPr>
            <a:t>SOURCE: SBA 7(a)</a:t>
          </a:r>
          <a:r>
            <a:rPr lang="en-US" sz="1200" b="0" i="0" baseline="0">
              <a:latin typeface="Arial" panose="020B0604020202020204" pitchFamily="34" charset="0"/>
              <a:cs typeface="Arial" panose="020B0604020202020204" pitchFamily="34" charset="0"/>
            </a:rPr>
            <a:t> FY2010-2019 modeling population (478,953 eligible loans). </a:t>
          </a:r>
        </a:p>
        <a:p>
          <a:endParaRPr lang="en-US" sz="1200" b="0" i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 i="0" baseline="0">
              <a:latin typeface="Arial" panose="020B0604020202020204" pitchFamily="34" charset="0"/>
              <a:cs typeface="Arial" panose="020B0604020202020204" pitchFamily="34" charset="0"/>
            </a:rPr>
            <a:t>Note: Rates represent retrospective recorded five-year charge-offs, not forward-looking default probabilities</a:t>
          </a:r>
        </a:p>
        <a:p>
          <a:endParaRPr lang="en-US" sz="1100" b="1" i="0">
            <a:noFill/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8503-C143-C14E-AC4A-34FAD4D31BEA}">
  <dimension ref="A1:S38"/>
  <sheetViews>
    <sheetView workbookViewId="0">
      <selection activeCell="D1" activeCellId="1" sqref="A1:A11 D1:D11"/>
    </sheetView>
  </sheetViews>
  <sheetFormatPr baseColWidth="10" defaultRowHeight="16" x14ac:dyDescent="0.2"/>
  <cols>
    <col min="1" max="1" width="22.6640625" customWidth="1"/>
    <col min="2" max="2" width="23" customWidth="1"/>
    <col min="3" max="3" width="26.6640625" customWidth="1"/>
    <col min="4" max="4" width="22.33203125" customWidth="1"/>
  </cols>
  <sheetData>
    <row r="1" spans="1:19" ht="21" x14ac:dyDescent="0.25">
      <c r="A1" s="5" t="s">
        <v>0</v>
      </c>
      <c r="B1" s="5" t="s">
        <v>1</v>
      </c>
      <c r="C1" s="5" t="s">
        <v>2</v>
      </c>
      <c r="D1" s="5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" x14ac:dyDescent="0.3">
      <c r="A2" s="3">
        <v>2010</v>
      </c>
      <c r="B2" s="4">
        <v>39912</v>
      </c>
      <c r="C2" s="4">
        <v>1955</v>
      </c>
      <c r="D2" s="6">
        <f>C2/B2</f>
        <v>4.8982762076568452E-2</v>
      </c>
      <c r="E2" s="3"/>
      <c r="F2" s="3"/>
      <c r="G2" s="3"/>
      <c r="H2" s="3"/>
      <c r="I2" s="3"/>
      <c r="J2" s="3"/>
      <c r="K2" s="2"/>
      <c r="L2" s="1"/>
      <c r="M2" s="1"/>
      <c r="N2" s="1"/>
      <c r="O2" s="1"/>
      <c r="P2" s="1"/>
      <c r="Q2" s="1"/>
      <c r="R2" s="1"/>
      <c r="S2" s="1"/>
    </row>
    <row r="3" spans="1:19" ht="22" x14ac:dyDescent="0.3">
      <c r="A3" s="3">
        <v>2011</v>
      </c>
      <c r="B3" s="4">
        <v>45628</v>
      </c>
      <c r="C3" s="4">
        <v>1667</v>
      </c>
      <c r="D3" s="6">
        <f>C3/B3</f>
        <v>3.6534584027351623E-2</v>
      </c>
      <c r="E3" s="3"/>
      <c r="F3" s="3"/>
      <c r="G3" s="3"/>
      <c r="H3" s="3"/>
      <c r="I3" s="3"/>
      <c r="J3" s="3"/>
      <c r="K3" s="2"/>
      <c r="L3" s="1"/>
      <c r="M3" s="1"/>
      <c r="N3" s="1"/>
      <c r="O3" s="1"/>
      <c r="P3" s="1"/>
      <c r="Q3" s="1"/>
      <c r="R3" s="1"/>
      <c r="S3" s="1"/>
    </row>
    <row r="4" spans="1:19" ht="22" x14ac:dyDescent="0.3">
      <c r="A4" s="3">
        <v>2012</v>
      </c>
      <c r="B4" s="4">
        <v>38889</v>
      </c>
      <c r="C4" s="4">
        <v>1276</v>
      </c>
      <c r="D4" s="6">
        <f>C4/B4</f>
        <v>3.2811334824757642E-2</v>
      </c>
      <c r="E4" s="3"/>
      <c r="F4" s="3"/>
      <c r="G4" s="3"/>
      <c r="H4" s="3"/>
      <c r="I4" s="3"/>
      <c r="J4" s="3"/>
      <c r="K4" s="2"/>
      <c r="L4" s="1"/>
      <c r="M4" s="1"/>
      <c r="N4" s="1"/>
      <c r="O4" s="1"/>
      <c r="P4" s="1"/>
      <c r="Q4" s="1"/>
      <c r="R4" s="1"/>
      <c r="S4" s="1"/>
    </row>
    <row r="5" spans="1:19" ht="22" x14ac:dyDescent="0.3">
      <c r="A5" s="3">
        <v>2013</v>
      </c>
      <c r="B5" s="4">
        <v>40416</v>
      </c>
      <c r="C5" s="4">
        <v>1242</v>
      </c>
      <c r="D5" s="6">
        <f>C5/B5</f>
        <v>3.0730403800475058E-2</v>
      </c>
      <c r="E5" s="3"/>
      <c r="F5" s="3"/>
      <c r="G5" s="3"/>
      <c r="H5" s="3"/>
      <c r="I5" s="3"/>
      <c r="J5" s="3"/>
      <c r="K5" s="2"/>
      <c r="L5" s="1"/>
      <c r="M5" s="1"/>
      <c r="N5" s="1"/>
      <c r="O5" s="1"/>
      <c r="P5" s="1"/>
      <c r="Q5" s="1"/>
      <c r="R5" s="1"/>
      <c r="S5" s="1"/>
    </row>
    <row r="6" spans="1:19" ht="22" x14ac:dyDescent="0.3">
      <c r="A6" s="3">
        <v>2014</v>
      </c>
      <c r="B6" s="4">
        <v>45961</v>
      </c>
      <c r="C6" s="4">
        <v>1617</v>
      </c>
      <c r="D6" s="6">
        <f>C6/B6</f>
        <v>3.5182002132242554E-2</v>
      </c>
      <c r="E6" s="3"/>
      <c r="F6" s="3"/>
      <c r="G6" s="3"/>
      <c r="H6" s="3"/>
      <c r="I6" s="3"/>
      <c r="J6" s="3"/>
      <c r="K6" s="2"/>
      <c r="L6" s="1"/>
      <c r="M6" s="1"/>
      <c r="N6" s="1"/>
      <c r="O6" s="1"/>
      <c r="P6" s="1"/>
      <c r="Q6" s="1"/>
      <c r="R6" s="1"/>
      <c r="S6" s="1"/>
    </row>
    <row r="7" spans="1:19" ht="22" x14ac:dyDescent="0.3">
      <c r="A7" s="3">
        <v>2015</v>
      </c>
      <c r="B7" s="4">
        <v>55420</v>
      </c>
      <c r="C7" s="4">
        <v>2137</v>
      </c>
      <c r="D7" s="6">
        <f>C7/B7</f>
        <v>3.8560086611331652E-2</v>
      </c>
      <c r="E7" s="3"/>
      <c r="F7" s="3"/>
      <c r="G7" s="3"/>
      <c r="H7" s="3"/>
      <c r="I7" s="3"/>
      <c r="J7" s="3"/>
      <c r="K7" s="2"/>
      <c r="L7" s="1"/>
      <c r="M7" s="1"/>
      <c r="N7" s="1"/>
      <c r="O7" s="1"/>
      <c r="P7" s="1"/>
      <c r="Q7" s="1"/>
      <c r="R7" s="1"/>
      <c r="S7" s="1"/>
    </row>
    <row r="8" spans="1:19" ht="22" x14ac:dyDescent="0.3">
      <c r="A8" s="3">
        <v>2016</v>
      </c>
      <c r="B8" s="4">
        <v>56785</v>
      </c>
      <c r="C8" s="4">
        <v>2198</v>
      </c>
      <c r="D8" s="6">
        <f>C8/B8</f>
        <v>3.870740512459276E-2</v>
      </c>
      <c r="E8" s="3"/>
      <c r="F8" s="3"/>
      <c r="G8" s="3"/>
      <c r="H8" s="3"/>
      <c r="I8" s="3"/>
      <c r="J8" s="3"/>
      <c r="K8" s="2"/>
      <c r="L8" s="1"/>
      <c r="M8" s="1"/>
      <c r="N8" s="1"/>
      <c r="O8" s="1"/>
      <c r="P8" s="1"/>
      <c r="Q8" s="1"/>
      <c r="R8" s="1"/>
      <c r="S8" s="1"/>
    </row>
    <row r="9" spans="1:19" ht="22" x14ac:dyDescent="0.3">
      <c r="A9" s="3">
        <v>2017</v>
      </c>
      <c r="B9" s="4">
        <v>56078</v>
      </c>
      <c r="C9" s="4">
        <v>2419</v>
      </c>
      <c r="D9" s="6">
        <f>C9/B9</f>
        <v>4.3136345804058632E-2</v>
      </c>
      <c r="E9" s="3"/>
      <c r="F9" s="3"/>
      <c r="G9" s="3"/>
      <c r="H9" s="3"/>
      <c r="I9" s="3"/>
      <c r="J9" s="3"/>
      <c r="K9" s="2"/>
      <c r="L9" s="1"/>
      <c r="M9" s="1"/>
      <c r="N9" s="1"/>
      <c r="O9" s="1"/>
      <c r="P9" s="1"/>
      <c r="Q9" s="1"/>
      <c r="R9" s="1"/>
      <c r="S9" s="1"/>
    </row>
    <row r="10" spans="1:19" ht="22" x14ac:dyDescent="0.3">
      <c r="A10" s="3">
        <v>2018</v>
      </c>
      <c r="B10" s="4">
        <v>54194</v>
      </c>
      <c r="C10" s="4">
        <v>2529</v>
      </c>
      <c r="D10" s="6">
        <f>C10/B10</f>
        <v>4.666568254788353E-2</v>
      </c>
      <c r="E10" s="3"/>
      <c r="F10" s="3"/>
      <c r="G10" s="3"/>
      <c r="H10" s="3"/>
      <c r="I10" s="3"/>
      <c r="J10" s="3"/>
      <c r="K10" s="2"/>
      <c r="L10" s="1"/>
      <c r="M10" s="1"/>
      <c r="N10" s="1"/>
      <c r="O10" s="1"/>
      <c r="P10" s="1"/>
      <c r="Q10" s="1"/>
      <c r="R10" s="1"/>
      <c r="S10" s="1"/>
    </row>
    <row r="11" spans="1:19" ht="22" x14ac:dyDescent="0.3">
      <c r="A11" s="3">
        <v>2019</v>
      </c>
      <c r="B11" s="4">
        <v>45670</v>
      </c>
      <c r="C11" s="4">
        <v>1786</v>
      </c>
      <c r="D11" s="6">
        <f>C11/B11</f>
        <v>3.9106634552222463E-2</v>
      </c>
      <c r="E11" s="3"/>
      <c r="F11" s="3"/>
      <c r="G11" s="3"/>
      <c r="H11" s="3"/>
      <c r="I11" s="3"/>
      <c r="J11" s="3"/>
      <c r="K11" s="2"/>
      <c r="L11" s="1"/>
      <c r="M11" s="1"/>
      <c r="N11" s="1"/>
      <c r="O11" s="1"/>
      <c r="P11" s="1"/>
      <c r="Q11" s="1"/>
      <c r="R11" s="1"/>
      <c r="S11" s="1"/>
    </row>
    <row r="12" spans="1:19" ht="21" x14ac:dyDescent="0.25">
      <c r="A12" s="5" t="s">
        <v>4</v>
      </c>
      <c r="B12" s="7">
        <f>SUM(B2:B11)</f>
        <v>478953</v>
      </c>
      <c r="C12" s="7">
        <f>SUM(C2:C11)</f>
        <v>18826</v>
      </c>
      <c r="D12" s="8">
        <f>C12/B12</f>
        <v>3.9306570790870923E-2</v>
      </c>
      <c r="E12" s="2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</row>
    <row r="13" spans="1:19" ht="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</row>
    <row r="14" spans="1:19" ht="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</row>
    <row r="15" spans="1:19" ht="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</row>
    <row r="16" spans="1:19" ht="2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</row>
    <row r="17" spans="1:19" ht="2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</row>
    <row r="18" spans="1:19" ht="2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</row>
    <row r="19" spans="1:19" ht="2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</row>
    <row r="20" spans="1:19" ht="2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</row>
    <row r="21" spans="1:19" ht="2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</row>
    <row r="22" spans="1:19" ht="2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</row>
    <row r="23" spans="1:19" ht="2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</row>
    <row r="24" spans="1:19" ht="2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</row>
    <row r="25" spans="1:19" ht="2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</row>
    <row r="26" spans="1:19" ht="2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</row>
    <row r="27" spans="1:19" ht="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</row>
    <row r="28" spans="1:19" ht="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</row>
    <row r="29" spans="1:19" ht="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</row>
    <row r="30" spans="1:19" ht="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</row>
    <row r="31" spans="1:19" ht="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5AF0-9A56-8F47-8FA4-3A43D2597E0D}">
  <sheetPr>
    <tabColor theme="0"/>
  </sheetPr>
  <dimension ref="C31:M36"/>
  <sheetViews>
    <sheetView showGridLines="0" tabSelected="1" topLeftCell="A2" workbookViewId="0">
      <selection activeCell="U16" sqref="U16"/>
    </sheetView>
  </sheetViews>
  <sheetFormatPr baseColWidth="10" defaultRowHeight="16" x14ac:dyDescent="0.2"/>
  <sheetData>
    <row r="31" spans="3:13" x14ac:dyDescent="0.2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3:13" x14ac:dyDescent="0.2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3:13" x14ac:dyDescent="0.2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3:13" x14ac:dyDescent="0.2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3:13" x14ac:dyDescent="0.2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3:13" x14ac:dyDescent="0.2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Vintage Data</vt:lpstr>
      <vt:lpstr>Vintage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Parthasarathi Addala</dc:creator>
  <cp:lastModifiedBy>Parthasarathi Addala</cp:lastModifiedBy>
  <dcterms:created xsi:type="dcterms:W3CDTF">2026-10-26T03:53:40Z</dcterms:created>
  <dcterms:modified xsi:type="dcterms:W3CDTF">2026-10-26T04:23:08Z</dcterms:modified>
</cp:coreProperties>
</file>